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dastrabiz-my.sharepoint.com/personal/branislav_chromiak_adastragrp_com/Documents/Personal/JTI/ExcelMDM/"/>
    </mc:Choice>
  </mc:AlternateContent>
  <xr:revisionPtr revIDLastSave="10" documentId="11_F7E1C73440DC60497AE183BFE8B07EB3BA8F4537" xr6:coauthVersionLast="47" xr6:coauthVersionMax="47" xr10:uidLastSave="{22ACC607-4067-40AC-9976-6F6416E9395C}"/>
  <bookViews>
    <workbookView xWindow="-9720" yWindow="-20820" windowWidth="38700" windowHeight="15345" activeTab="7" xr2:uid="{00000000-000D-0000-FFFF-FFFF00000000}"/>
  </bookViews>
  <sheets>
    <sheet name="_config" sheetId="1" state="hidden" r:id="rId1"/>
    <sheet name="_ref_products" sheetId="2" state="hidden" r:id="rId2"/>
    <sheet name="_ref_accounts" sheetId="3" state="hidden" r:id="rId3"/>
    <sheet name="_ref_competitors" sheetId="4" state="hidden" r:id="rId4"/>
    <sheet name="Instructions" sheetId="5" r:id="rId5"/>
    <sheet name="Product Mapping" sheetId="6" r:id="rId6"/>
    <sheet name="Account Mapping" sheetId="7" r:id="rId7"/>
    <sheet name="Competitor Mapping" sheetId="8" r:id="rId8"/>
  </sheets>
  <definedNames>
    <definedName name="CUSTOMER_KEY">_config!$B$1</definedName>
    <definedName name="LOCK_FILE_PATH">_config!$B$3</definedName>
    <definedName name="UPLOAD_FOLDER">_config!$B$2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8" l="1"/>
  <c r="D7" i="8"/>
  <c r="F5" i="8"/>
  <c r="F6" i="8" s="1"/>
  <c r="B4" i="8"/>
  <c r="D8" i="7"/>
  <c r="D7" i="7"/>
  <c r="F5" i="7"/>
  <c r="F6" i="7" s="1"/>
  <c r="B4" i="7"/>
  <c r="B4" i="1"/>
  <c r="D8" i="6"/>
  <c r="D7" i="6"/>
  <c r="F5" i="6"/>
  <c r="F6" i="6" s="1"/>
  <c r="B4" i="6"/>
</calcChain>
</file>

<file path=xl/sharedStrings.xml><?xml version="1.0" encoding="utf-8"?>
<sst xmlns="http://schemas.openxmlformats.org/spreadsheetml/2006/main" count="99" uniqueCount="85">
  <si>
    <t>LDLP  ·  Product Mapping  ·  Tesco</t>
  </si>
  <si>
    <t>Source product text</t>
  </si>
  <si>
    <t>→ Select CRM product name ▾</t>
  </si>
  <si>
    <t>PRODUCT_KEY</t>
  </si>
  <si>
    <t>MRL RED 20 BOX</t>
  </si>
  <si>
    <t>▶  SUBMIT</t>
  </si>
  <si>
    <t>MARLB GOLD KS 20</t>
  </si>
  <si>
    <t>Uploads to ADLS
and triggers pipeline</t>
  </si>
  <si>
    <t>CELL GUIDE</t>
  </si>
  <si>
    <t>Needs mapping</t>
  </si>
  <si>
    <t>Mapped ✓</t>
  </si>
  <si>
    <t>Invalid — use dropdown</t>
  </si>
  <si>
    <t>customer_key</t>
  </si>
  <si>
    <t>Tesco</t>
  </si>
  <si>
    <t>upload_folder</t>
  </si>
  <si>
    <t>ms/sl/dp/_bridge/Tesco/</t>
  </si>
  <si>
    <t>lock_file</t>
  </si>
  <si>
    <t>ms/sl/dp/_bridge/Tesco/PROCESSING.lock</t>
  </si>
  <si>
    <t>generated_at</t>
  </si>
  <si>
    <t>Marlboro Red KS Box 20s</t>
  </si>
  <si>
    <t>PRD-001</t>
  </si>
  <si>
    <t>Marlboro Gold KS Box 20s</t>
  </si>
  <si>
    <t>PRD-002</t>
  </si>
  <si>
    <t>L&amp;M Blue Label KS Box 20s</t>
  </si>
  <si>
    <t>PRD-003</t>
  </si>
  <si>
    <t>L&amp;M Red Label KS Box 20s</t>
  </si>
  <si>
    <t>PRD-004</t>
  </si>
  <si>
    <t>Philip Morris Blue KS Box 20s</t>
  </si>
  <si>
    <t>PRD-005</t>
  </si>
  <si>
    <t>Chesterfield Red KS Box 20s</t>
  </si>
  <si>
    <t>PRD-006</t>
  </si>
  <si>
    <t>Muratti Ambassador KS Box 20s</t>
  </si>
  <si>
    <t>PRD-007</t>
  </si>
  <si>
    <t>Sparta Red KS Box 20s</t>
  </si>
  <si>
    <t>PRD-008</t>
  </si>
  <si>
    <t>Tesco Stores SK s.r.o.</t>
  </si>
  <si>
    <t>ACC-001</t>
  </si>
  <si>
    <t>Kaufland Slovenská republika v.o.s.</t>
  </si>
  <si>
    <t>ACC-002</t>
  </si>
  <si>
    <t>Albert Heijn SK s.r.o.</t>
  </si>
  <si>
    <t>ACC-003</t>
  </si>
  <si>
    <t>COOP Jednota Slovensko</t>
  </si>
  <si>
    <t>ACC-004</t>
  </si>
  <si>
    <t>Billa Slovenská republika s.r.o.</t>
  </si>
  <si>
    <t>ACC-005</t>
  </si>
  <si>
    <t>Lidl Slovenská republika v.o.s.</t>
  </si>
  <si>
    <t>ACC-006</t>
  </si>
  <si>
    <t>Bond Street Red KS Box 20s</t>
  </si>
  <si>
    <t>COMP-001</t>
  </si>
  <si>
    <t>Pall Mall Red KS Box 20s</t>
  </si>
  <si>
    <t>COMP-002</t>
  </si>
  <si>
    <t>Winston Red KS Box 20s</t>
  </si>
  <si>
    <t>COMP-003</t>
  </si>
  <si>
    <t>Camel Filter KS Box 20s</t>
  </si>
  <si>
    <t>COMP-004</t>
  </si>
  <si>
    <t>Lucky Strike Original KS Box 20s</t>
  </si>
  <si>
    <t>COMP-005</t>
  </si>
  <si>
    <t>LD Red KS Box 20s</t>
  </si>
  <si>
    <t>COMP-006</t>
  </si>
  <si>
    <t>LDLP  ·  Bridge Mapping  ·  Tesco</t>
  </si>
  <si>
    <t>Customer: Tesco  ·  Fill all yellow cells then click Submit</t>
  </si>
  <si>
    <t>Step 1  —  Open a mapping sheet</t>
  </si>
  <si>
    <t>Use the colour-coded tabs below. Each sheet shows only unmapped values for this customer.</t>
  </si>
  <si>
    <t>Step 2  —  Review source values</t>
  </si>
  <si>
    <t>Column B shows the exact text that appeared in the customer file and could not be auto-matched.</t>
  </si>
  <si>
    <t>Step 3  —  Select CRM value</t>
  </si>
  <si>
    <t>Click the yellow cell in column D. Use the dropdown — do NOT type manually or the key will not resolve.</t>
  </si>
  <si>
    <t>Step 4  —  Key auto-fills</t>
  </si>
  <si>
    <t>Column E fills automatically via VLOOKUP. If it stays empty, your selection is invalid — re-pick from the list.</t>
  </si>
  <si>
    <t>Step 5  —  Watch the counter</t>
  </si>
  <si>
    <t>The header bar updates live: '3 of 6 rows mapped'. All rows must be complete before Submit turns green.</t>
  </si>
  <si>
    <t>Step 6  —  Submit turns green</t>
  </si>
  <si>
    <t>When all rows are mapped the Submit button turns dark green. Click it to upload to ADLS and trigger the pipeline.</t>
  </si>
  <si>
    <t>LDLP  ·  Account Mapping  ·  Tesco</t>
  </si>
  <si>
    <t>Source account text</t>
  </si>
  <si>
    <t>→ Select CRM account name ▾</t>
  </si>
  <si>
    <t>ACCOUNT_KEY</t>
  </si>
  <si>
    <t>TESCO SK BA DC</t>
  </si>
  <si>
    <t>TESCO SK KOSICE</t>
  </si>
  <si>
    <t>LDLP  ·  Competitor Mapping  ·  Tesco</t>
  </si>
  <si>
    <t>Source competitor text</t>
  </si>
  <si>
    <t>→ Select competitor product ▾</t>
  </si>
  <si>
    <t>COMPETITOR_KEY</t>
  </si>
  <si>
    <t>BOND ST RED 20</t>
  </si>
  <si>
    <t>LD RED 20BOX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</si>
</sst>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CCCCCC"/>
      <name val="Arial"/>
    </font>
    <font>
      <b/>
      <sz val="9"/>
      <color rgb="FFFFFFFF"/>
      <name val="Arial"/>
    </font>
    <font>
      <sz val="9"/>
      <color rgb="FF333333"/>
      <name val="Arial"/>
    </font>
    <font>
      <b/>
      <sz val="13"/>
      <color rgb="FFFFFFFF"/>
      <name val="Arial"/>
    </font>
    <font>
      <sz val="9"/>
      <color rgb="FF1A1A18"/>
      <name val="Arial"/>
    </font>
    <font>
      <sz val="9"/>
      <color rgb="FF185FA5"/>
      <name val="Arial"/>
    </font>
    <font>
      <sz val="7"/>
      <color rgb="FFAAAAAA"/>
      <name val="Arial"/>
    </font>
    <font>
      <b/>
      <sz val="9"/>
      <name val="Arial"/>
    </font>
    <font>
      <b/>
      <sz val="12"/>
      <color rgb="FFAAAAAA"/>
      <name val="Arial"/>
    </font>
    <font>
      <sz val="7"/>
      <color rgb="FF888888"/>
      <name val="Arial"/>
    </font>
    <font>
      <b/>
      <sz val="7"/>
      <color rgb="FF888888"/>
      <name val="Arial"/>
    </font>
    <font>
      <sz val="7"/>
      <color rgb="FF7B3F00"/>
      <name val="Arial"/>
    </font>
    <font>
      <sz val="7"/>
      <color rgb="FF1B5E20"/>
      <name val="Arial"/>
    </font>
    <font>
      <sz val="7"/>
      <color rgb="FF99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1A18"/>
      </patternFill>
    </fill>
    <fill>
      <patternFill patternType="solid">
        <fgColor rgb="FF2D2D2B"/>
      </patternFill>
    </fill>
    <fill>
      <patternFill patternType="solid">
        <fgColor rgb="FFF8F7F3"/>
      </patternFill>
    </fill>
    <fill>
      <patternFill patternType="solid">
        <fgColor rgb="FFC040C8"/>
      </patternFill>
    </fill>
    <fill>
      <patternFill patternType="solid">
        <fgColor rgb="FF185FA5"/>
      </patternFill>
    </fill>
    <fill>
      <patternFill patternType="solid">
        <fgColor rgb="FFF1EFE8"/>
      </patternFill>
    </fill>
    <fill>
      <patternFill patternType="solid">
        <fgColor rgb="FFFFFCE6"/>
      </patternFill>
    </fill>
    <fill>
      <patternFill patternType="solid">
        <fgColor rgb="FFE6F1FB"/>
      </patternFill>
    </fill>
    <fill>
      <patternFill patternType="solid">
        <fgColor rgb="FF5F5E5A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FFCCCC"/>
      </patternFill>
    </fill>
  </fills>
  <borders count="5">
    <border>
      <left/>
      <right/>
      <top/>
      <bottom/>
      <diagonal/>
    </border>
    <border>
      <left style="thin">
        <color rgb="FFC8C6BE"/>
      </left>
      <right style="thin">
        <color rgb="FFC8C6BE"/>
      </right>
      <top style="thin">
        <color rgb="FFC8C6BE"/>
      </top>
      <bottom style="thin">
        <color rgb="FFC8C6BE"/>
      </bottom>
      <diagonal/>
    </border>
    <border>
      <left style="thin">
        <color rgb="FFFFFFFF"/>
      </left>
      <right style="thin">
        <color rgb="FFFFFFFF"/>
      </right>
      <top/>
      <bottom style="medium">
        <color rgb="FFC040C8"/>
      </bottom>
      <diagonal/>
    </border>
    <border>
      <left style="hair">
        <color rgb="FFC8C6BE"/>
      </left>
      <right style="hair">
        <color rgb="FFC8C6BE"/>
      </right>
      <top style="hair">
        <color rgb="FFC8C6BE"/>
      </top>
      <bottom style="hair">
        <color rgb="FFC8C6BE"/>
      </bottom>
      <diagonal/>
    </border>
    <border>
      <left style="medium">
        <color rgb="FFBA7517"/>
      </left>
      <right style="medium">
        <color rgb="FFBA7517"/>
      </right>
      <top style="hair">
        <color rgb="FFC8C6BE"/>
      </top>
      <bottom style="hair">
        <color rgb="FFC8C6B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 indent="1"/>
    </xf>
    <xf numFmtId="0" fontId="8" fillId="4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6" fillId="8" borderId="4" xfId="0" applyFont="1" applyFill="1" applyBorder="1" applyAlignment="1" applyProtection="1">
      <alignment horizontal="left" vertical="center"/>
      <protection locked="0"/>
    </xf>
    <xf numFmtId="0" fontId="7" fillId="9" borderId="3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10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7">
    <dxf>
      <font>
        <b/>
        <sz val="12"/>
        <color rgb="FFAAAAAA"/>
        <name val="Arial"/>
      </font>
      <fill>
        <patternFill patternType="solid">
          <fgColor rgb="FF5F5E5A"/>
        </patternFill>
      </fill>
    </dxf>
    <dxf>
      <font>
        <b/>
        <sz val="12"/>
        <color rgb="FFFFFFFF"/>
        <name val="Arial"/>
      </font>
      <fill>
        <patternFill patternType="solid">
          <fgColor rgb="FF2E7D32"/>
        </patternFill>
      </fill>
    </dxf>
    <dxf>
      <font>
        <b/>
        <sz val="9"/>
        <color rgb="FF7B3F00"/>
        <name val="Arial"/>
      </font>
      <fill>
        <patternFill patternType="solid">
          <fgColor rgb="FFFFE0B2"/>
        </patternFill>
      </fill>
    </dxf>
    <dxf>
      <font>
        <b/>
        <sz val="9"/>
        <color rgb="FF1B5E20"/>
        <name val="Arial"/>
      </font>
      <fill>
        <patternFill patternType="solid">
          <fgColor rgb="FFC8E6C9"/>
        </patternFill>
      </fill>
    </dxf>
    <dxf>
      <font>
        <sz val="9"/>
        <color rgb="FF990000"/>
        <name val="Arial"/>
      </font>
      <fill>
        <patternFill patternType="solid">
          <fgColor rgb="FFFFCCCC"/>
        </patternFill>
      </fill>
    </dxf>
    <dxf>
      <font>
        <sz val="9"/>
        <color rgb="FF155724"/>
        <name val="Arial"/>
      </font>
      <fill>
        <patternFill patternType="solid">
          <fgColor rgb="FFD4EDDA"/>
        </patternFill>
      </fill>
    </dxf>
    <dxf>
      <font>
        <sz val="9"/>
        <color rgb="FF1B5E20"/>
        <name val="Arial"/>
      </font>
      <fill>
        <patternFill patternType="solid">
          <fgColor rgb="FFE8F5E9"/>
        </patternFill>
      </fill>
    </dxf>
    <dxf>
      <font>
        <sz val="9"/>
        <color rgb="FF990000"/>
        <name val="Arial"/>
      </font>
      <fill>
        <patternFill patternType="solid">
          <fgColor rgb="FFFFCCCC"/>
        </patternFill>
      </fill>
      <border>
        <left style="medium">
          <color rgb="FFCC0000"/>
        </left>
        <right style="medium">
          <color rgb="FFCC0000"/>
        </right>
        <top style="hair">
          <color rgb="FFC8C6BE"/>
        </top>
        <bottom style="hair">
          <color rgb="FFC8C6BE"/>
        </bottom>
      </border>
    </dxf>
    <dxf>
      <font>
        <sz val="9"/>
        <color rgb="FF7B3F00"/>
        <name val="Arial"/>
      </font>
      <fill>
        <patternFill patternType="solid">
          <fgColor rgb="FFFFE0B2"/>
        </patternFill>
      </fill>
      <border>
        <left style="medium">
          <color rgb="FFE65100"/>
        </left>
        <right style="medium">
          <color rgb="FFE65100"/>
        </right>
        <top style="hair">
          <color rgb="FFC8C6BE"/>
        </top>
        <bottom style="hair">
          <color rgb="FFC8C6BE"/>
        </bottom>
      </border>
    </dxf>
    <dxf>
      <font>
        <b/>
        <sz val="12"/>
        <color rgb="FFAAAAAA"/>
        <name val="Arial"/>
      </font>
      <fill>
        <patternFill patternType="solid">
          <fgColor rgb="FF5F5E5A"/>
        </patternFill>
      </fill>
    </dxf>
    <dxf>
      <font>
        <b/>
        <sz val="12"/>
        <color rgb="FFFFFFFF"/>
        <name val="Arial"/>
      </font>
      <fill>
        <patternFill patternType="solid">
          <fgColor rgb="FF2E7D32"/>
        </patternFill>
      </fill>
    </dxf>
    <dxf>
      <font>
        <b/>
        <sz val="9"/>
        <color rgb="FF7B3F00"/>
        <name val="Arial"/>
      </font>
      <fill>
        <patternFill patternType="solid">
          <fgColor rgb="FFFFE0B2"/>
        </patternFill>
      </fill>
    </dxf>
    <dxf>
      <font>
        <b/>
        <sz val="9"/>
        <color rgb="FF1B5E20"/>
        <name val="Arial"/>
      </font>
      <fill>
        <patternFill patternType="solid">
          <fgColor rgb="FFC8E6C9"/>
        </patternFill>
      </fill>
    </dxf>
    <dxf>
      <font>
        <sz val="9"/>
        <color rgb="FF990000"/>
        <name val="Arial"/>
      </font>
      <fill>
        <patternFill patternType="solid">
          <fgColor rgb="FFFFCCCC"/>
        </patternFill>
      </fill>
    </dxf>
    <dxf>
      <font>
        <sz val="9"/>
        <color rgb="FF155724"/>
        <name val="Arial"/>
      </font>
      <fill>
        <patternFill patternType="solid">
          <fgColor rgb="FFD4EDDA"/>
        </patternFill>
      </fill>
    </dxf>
    <dxf>
      <font>
        <sz val="9"/>
        <color rgb="FF1B5E20"/>
        <name val="Arial"/>
      </font>
      <fill>
        <patternFill patternType="solid">
          <fgColor rgb="FFE8F5E9"/>
        </patternFill>
      </fill>
    </dxf>
    <dxf>
      <font>
        <sz val="9"/>
        <color rgb="FF990000"/>
        <name val="Arial"/>
      </font>
      <fill>
        <patternFill patternType="solid">
          <fgColor rgb="FFFFCCCC"/>
        </patternFill>
      </fill>
      <border>
        <left style="medium">
          <color rgb="FFCC0000"/>
        </left>
        <right style="medium">
          <color rgb="FFCC0000"/>
        </right>
        <top style="hair">
          <color rgb="FFC8C6BE"/>
        </top>
        <bottom style="hair">
          <color rgb="FFC8C6BE"/>
        </bottom>
      </border>
    </dxf>
    <dxf>
      <font>
        <sz val="9"/>
        <color rgb="FF7B3F00"/>
        <name val="Arial"/>
      </font>
      <fill>
        <patternFill patternType="solid">
          <fgColor rgb="FFFFE0B2"/>
        </patternFill>
      </fill>
      <border>
        <left style="medium">
          <color rgb="FFE65100"/>
        </left>
        <right style="medium">
          <color rgb="FFE65100"/>
        </right>
        <top style="hair">
          <color rgb="FFC8C6BE"/>
        </top>
        <bottom style="hair">
          <color rgb="FFC8C6BE"/>
        </bottom>
      </border>
    </dxf>
    <dxf>
      <font>
        <b/>
        <sz val="12"/>
        <color rgb="FFAAAAAA"/>
        <name val="Arial"/>
      </font>
      <fill>
        <patternFill patternType="solid">
          <fgColor rgb="FF5F5E5A"/>
        </patternFill>
      </fill>
    </dxf>
    <dxf>
      <font>
        <b/>
        <sz val="12"/>
        <color rgb="FFFFFFFF"/>
        <name val="Arial"/>
      </font>
      <fill>
        <patternFill patternType="solid">
          <fgColor rgb="FF2E7D32"/>
        </patternFill>
      </fill>
    </dxf>
    <dxf>
      <font>
        <b/>
        <sz val="9"/>
        <color rgb="FF7B3F00"/>
        <name val="Arial"/>
      </font>
      <fill>
        <patternFill patternType="solid">
          <fgColor rgb="FFFFE0B2"/>
        </patternFill>
      </fill>
    </dxf>
    <dxf>
      <font>
        <b/>
        <sz val="9"/>
        <color rgb="FF1B5E20"/>
        <name val="Arial"/>
      </font>
      <fill>
        <patternFill patternType="solid">
          <fgColor rgb="FFC8E6C9"/>
        </patternFill>
      </fill>
    </dxf>
    <dxf>
      <font>
        <sz val="9"/>
        <color rgb="FF990000"/>
        <name val="Arial"/>
      </font>
      <fill>
        <patternFill patternType="solid">
          <fgColor rgb="FFFFCCCC"/>
        </patternFill>
      </fill>
    </dxf>
    <dxf>
      <font>
        <sz val="9"/>
        <color rgb="FF155724"/>
        <name val="Arial"/>
      </font>
      <fill>
        <patternFill patternType="solid">
          <fgColor rgb="FFD4EDDA"/>
        </patternFill>
      </fill>
    </dxf>
    <dxf>
      <font>
        <sz val="9"/>
        <color rgb="FF1B5E20"/>
        <name val="Arial"/>
      </font>
      <fill>
        <patternFill patternType="solid">
          <fgColor rgb="FFE8F5E9"/>
        </patternFill>
      </fill>
    </dxf>
    <dxf>
      <font>
        <sz val="9"/>
        <color rgb="FF990000"/>
        <name val="Arial"/>
      </font>
      <fill>
        <patternFill patternType="solid">
          <fgColor rgb="FFFFCCCC"/>
        </patternFill>
      </fill>
      <border>
        <left style="medium">
          <color rgb="FFCC0000"/>
        </left>
        <right style="medium">
          <color rgb="FFCC0000"/>
        </right>
        <top style="hair">
          <color rgb="FFC8C6BE"/>
        </top>
        <bottom style="hair">
          <color rgb="FFC8C6BE"/>
        </bottom>
      </border>
    </dxf>
    <dxf>
      <font>
        <sz val="9"/>
        <color rgb="FF7B3F00"/>
        <name val="Arial"/>
      </font>
      <fill>
        <patternFill patternType="solid">
          <fgColor rgb="FFFFE0B2"/>
        </patternFill>
      </fill>
      <border>
        <left style="medium">
          <color rgb="FFE65100"/>
        </left>
        <right style="medium">
          <color rgb="FFE65100"/>
        </right>
        <top style="hair">
          <color rgb="FFC8C6BE"/>
        </top>
        <bottom style="hair">
          <color rgb="FFC8C6BE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B4"/>
  <sheetViews>
    <sheetView workbookViewId="0"/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tr">
        <f ca="1">TEXT(NOW(),"YYYY-MM-DD HH:MM:SS")</f>
        <v>2026-04-17 15:48:13</v>
      </c>
    </row>
  </sheetData>
  <pageMargins left="0.75" right="0.75" top="1" bottom="1" header="0.5" footer="0.5"/>
  <headerFooter>
    <oddFooter>&amp;L_x000D_&amp;1#&amp;"Aptos"&amp;7&amp;K000000 ADASTRA: Non-public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</sheetData>
  <pageMargins left="0.75" right="0.75" top="1" bottom="1" header="0.5" footer="0.5"/>
  <headerFooter>
    <oddFooter>&amp;L_x000D_&amp;1#&amp;"Aptos"&amp;7&amp;K000000 ADASTRA: Non-public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 t="s">
        <v>38</v>
      </c>
    </row>
    <row r="3" spans="1:2" x14ac:dyDescent="0.25">
      <c r="A3" t="s">
        <v>39</v>
      </c>
      <c r="B3" t="s">
        <v>40</v>
      </c>
    </row>
    <row r="4" spans="1:2" x14ac:dyDescent="0.25">
      <c r="A4" t="s">
        <v>41</v>
      </c>
      <c r="B4" t="s">
        <v>42</v>
      </c>
    </row>
    <row r="5" spans="1:2" x14ac:dyDescent="0.25">
      <c r="A5" t="s">
        <v>43</v>
      </c>
      <c r="B5" t="s">
        <v>44</v>
      </c>
    </row>
    <row r="6" spans="1:2" x14ac:dyDescent="0.25">
      <c r="A6" t="s">
        <v>45</v>
      </c>
      <c r="B6" t="s">
        <v>46</v>
      </c>
    </row>
  </sheetData>
  <pageMargins left="0.75" right="0.75" top="1" bottom="1" header="0.5" footer="0.5"/>
  <headerFooter>
    <oddFooter>&amp;L_x000D_&amp;1#&amp;"Aptos"&amp;7&amp;K000000 ADASTRA: Non-public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sheetData>
    <row r="1" spans="1:2" x14ac:dyDescent="0.25">
      <c r="A1" t="s">
        <v>47</v>
      </c>
      <c r="B1" t="s">
        <v>48</v>
      </c>
    </row>
    <row r="2" spans="1:2" x14ac:dyDescent="0.25">
      <c r="A2" t="s">
        <v>49</v>
      </c>
      <c r="B2" t="s">
        <v>50</v>
      </c>
    </row>
    <row r="3" spans="1:2" x14ac:dyDescent="0.25">
      <c r="A3" t="s">
        <v>51</v>
      </c>
      <c r="B3" t="s">
        <v>52</v>
      </c>
    </row>
    <row r="4" spans="1:2" x14ac:dyDescent="0.25">
      <c r="A4" t="s">
        <v>53</v>
      </c>
      <c r="B4" t="s">
        <v>54</v>
      </c>
    </row>
    <row r="5" spans="1:2" x14ac:dyDescent="0.25">
      <c r="A5" t="s">
        <v>55</v>
      </c>
      <c r="B5" t="s">
        <v>56</v>
      </c>
    </row>
    <row r="6" spans="1:2" x14ac:dyDescent="0.25">
      <c r="A6" t="s">
        <v>57</v>
      </c>
      <c r="B6" t="s">
        <v>58</v>
      </c>
    </row>
  </sheetData>
  <pageMargins left="0.75" right="0.75" top="1" bottom="1" header="0.5" footer="0.5"/>
  <headerFooter>
    <oddFooter>&amp;L_x000D_&amp;1#&amp;"Aptos"&amp;7&amp;K000000 ADASTRA: Non-public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1A18"/>
  </sheetPr>
  <dimension ref="B1:C11"/>
  <sheetViews>
    <sheetView showGridLines="0" workbookViewId="0"/>
  </sheetViews>
  <sheetFormatPr defaultRowHeight="15" x14ac:dyDescent="0.25"/>
  <cols>
    <col min="1" max="1" width="2" customWidth="1"/>
    <col min="2" max="2" width="22" customWidth="1"/>
    <col min="3" max="3" width="60" customWidth="1"/>
  </cols>
  <sheetData>
    <row r="1" spans="2:3" ht="6" customHeight="1" x14ac:dyDescent="0.25"/>
    <row r="2" spans="2:3" ht="24" customHeight="1" x14ac:dyDescent="0.25">
      <c r="B2" s="20" t="s">
        <v>59</v>
      </c>
      <c r="C2" s="17"/>
    </row>
    <row r="3" spans="2:3" ht="24" customHeight="1" x14ac:dyDescent="0.25">
      <c r="B3" s="17"/>
      <c r="C3" s="17"/>
    </row>
    <row r="4" spans="2:3" ht="15.95" customHeight="1" x14ac:dyDescent="0.25">
      <c r="B4" s="19" t="s">
        <v>60</v>
      </c>
      <c r="C4" s="17"/>
    </row>
    <row r="6" spans="2:3" ht="30" customHeight="1" x14ac:dyDescent="0.25">
      <c r="B6" s="1" t="s">
        <v>61</v>
      </c>
      <c r="C6" s="2" t="s">
        <v>62</v>
      </c>
    </row>
    <row r="7" spans="2:3" ht="30" customHeight="1" x14ac:dyDescent="0.25">
      <c r="B7" s="1" t="s">
        <v>63</v>
      </c>
      <c r="C7" s="2" t="s">
        <v>64</v>
      </c>
    </row>
    <row r="8" spans="2:3" ht="30" customHeight="1" x14ac:dyDescent="0.25">
      <c r="B8" s="1" t="s">
        <v>65</v>
      </c>
      <c r="C8" s="2" t="s">
        <v>66</v>
      </c>
    </row>
    <row r="9" spans="2:3" ht="30" customHeight="1" x14ac:dyDescent="0.25">
      <c r="B9" s="1" t="s">
        <v>67</v>
      </c>
      <c r="C9" s="2" t="s">
        <v>68</v>
      </c>
    </row>
    <row r="10" spans="2:3" ht="30" customHeight="1" x14ac:dyDescent="0.25">
      <c r="B10" s="1" t="s">
        <v>69</v>
      </c>
      <c r="C10" s="2" t="s">
        <v>70</v>
      </c>
    </row>
    <row r="11" spans="2:3" ht="30" customHeight="1" x14ac:dyDescent="0.25">
      <c r="B11" s="1" t="s">
        <v>71</v>
      </c>
      <c r="C11" s="2" t="s">
        <v>72</v>
      </c>
    </row>
  </sheetData>
  <sheetProtection password="EC2B" sheet="1"/>
  <mergeCells count="2">
    <mergeCell ref="B4:C4"/>
    <mergeCell ref="B2:C3"/>
  </mergeCells>
  <pageMargins left="0.75" right="0.75" top="1" bottom="1" header="0.5" footer="0.5"/>
  <headerFooter>
    <oddFooter>&amp;L_x000D_&amp;1#&amp;"Aptos"&amp;7&amp;K000000 ADASTRA: Non-public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E56"/>
  </sheetPr>
  <dimension ref="B1:F15"/>
  <sheetViews>
    <sheetView showGridLines="0" workbookViewId="0">
      <selection activeCell="C9" sqref="B9:C9"/>
    </sheetView>
  </sheetViews>
  <sheetFormatPr defaultRowHeight="15" x14ac:dyDescent="0.25"/>
  <cols>
    <col min="1" max="1" width="2" customWidth="1"/>
    <col min="2" max="2" width="36" customWidth="1"/>
    <col min="3" max="3" width="38" customWidth="1"/>
    <col min="4" max="4" width="20" customWidth="1"/>
    <col min="5" max="5" width="3" customWidth="1"/>
    <col min="6" max="6" width="26" customWidth="1"/>
  </cols>
  <sheetData>
    <row r="1" spans="2:6" ht="6" customHeight="1" x14ac:dyDescent="0.25"/>
    <row r="2" spans="2:6" ht="24" customHeight="1" x14ac:dyDescent="0.25">
      <c r="B2" s="16" t="s">
        <v>0</v>
      </c>
      <c r="C2" s="17"/>
      <c r="D2" s="17"/>
    </row>
    <row r="3" spans="2:6" ht="24" customHeight="1" x14ac:dyDescent="0.25">
      <c r="B3" s="17"/>
      <c r="C3" s="17"/>
      <c r="D3" s="17"/>
    </row>
    <row r="4" spans="2:6" ht="15.95" customHeight="1" x14ac:dyDescent="0.25">
      <c r="B4" s="19" t="str">
        <f>SUMPRODUCT((LEN(TRIM(B7:B8))&gt;0)*(LEN(TRIM(C7:C8))&gt;0))&amp;" of 2 rows mapped"&amp;IF(SUMPRODUCT((LEN(TRIM(B7:B8))&gt;0)*(LEN(TRIM(C7:C8))=0))&gt;0," · "&amp;SUMPRODUCT((LEN(TRIM(B7:B8))&gt;0)*(LEN(TRIM(C7:C8))=0))&amp;" remaining ⚠"," · All complete ✓")</f>
        <v>2 of 2 rows mapped · All complete ✓</v>
      </c>
      <c r="C4" s="17"/>
      <c r="D4" s="17"/>
    </row>
    <row r="5" spans="2:6" ht="14.1" customHeight="1" x14ac:dyDescent="0.25">
      <c r="F5" s="3">
        <f>SUMPRODUCT((LEN(TRIM(B7:B8))&gt;0)*(LEN(TRIM(C7:C8))=0))</f>
        <v>0</v>
      </c>
    </row>
    <row r="6" spans="2:6" ht="21.95" customHeight="1" x14ac:dyDescent="0.25">
      <c r="B6" s="4" t="s">
        <v>1</v>
      </c>
      <c r="C6" s="5" t="s">
        <v>2</v>
      </c>
      <c r="D6" s="6" t="s">
        <v>3</v>
      </c>
      <c r="F6" s="7" t="str">
        <f>IF(F5=0,"✓ All 2 rows mapped","⚠  "&amp;F5&amp;" row(s) not mapped")</f>
        <v>✓ All 2 rows mapped</v>
      </c>
    </row>
    <row r="7" spans="2:6" ht="20.100000000000001" customHeight="1" x14ac:dyDescent="0.25">
      <c r="B7" s="8" t="s">
        <v>4</v>
      </c>
      <c r="C7" s="9" t="s">
        <v>21</v>
      </c>
      <c r="D7" s="10" t="str">
        <f>IFERROR(VLOOKUP(C7,_ref_products!$A:$B,2,FALSE),"")</f>
        <v>PRD-002</v>
      </c>
      <c r="F7" s="18" t="s">
        <v>5</v>
      </c>
    </row>
    <row r="8" spans="2:6" ht="20.100000000000001" customHeight="1" x14ac:dyDescent="0.25">
      <c r="B8" s="8" t="s">
        <v>6</v>
      </c>
      <c r="C8" s="9" t="s">
        <v>29</v>
      </c>
      <c r="D8" s="10" t="str">
        <f>IFERROR(VLOOKUP(C8,_ref_products!$A:$B,2,FALSE),"")</f>
        <v>PRD-006</v>
      </c>
      <c r="F8" s="17"/>
    </row>
    <row r="9" spans="2:6" ht="20.100000000000001" customHeight="1" x14ac:dyDescent="0.25">
      <c r="F9" s="17"/>
    </row>
    <row r="10" spans="2:6" ht="20.100000000000001" customHeight="1" x14ac:dyDescent="0.25">
      <c r="F10" s="17"/>
    </row>
    <row r="11" spans="2:6" ht="26.1" customHeight="1" x14ac:dyDescent="0.25">
      <c r="F11" s="11" t="s">
        <v>7</v>
      </c>
    </row>
    <row r="12" spans="2:6" ht="12.95" customHeight="1" x14ac:dyDescent="0.25">
      <c r="F12" s="12" t="s">
        <v>8</v>
      </c>
    </row>
    <row r="13" spans="2:6" ht="15.95" customHeight="1" x14ac:dyDescent="0.25">
      <c r="F13" s="13" t="s">
        <v>9</v>
      </c>
    </row>
    <row r="14" spans="2:6" ht="15.95" customHeight="1" x14ac:dyDescent="0.25">
      <c r="F14" s="14" t="s">
        <v>10</v>
      </c>
    </row>
    <row r="15" spans="2:6" ht="15.95" customHeight="1" x14ac:dyDescent="0.25">
      <c r="F15" s="15" t="s">
        <v>11</v>
      </c>
    </row>
  </sheetData>
  <sheetProtection password="EC2B" sheet="1"/>
  <mergeCells count="3">
    <mergeCell ref="B2:D3"/>
    <mergeCell ref="F7:F10"/>
    <mergeCell ref="B4:D4"/>
  </mergeCells>
  <conditionalFormatting sqref="C7:C8">
    <cfRule type="expression" dxfId="26" priority="1">
      <formula>AND(LEN(TRIM(B7))&gt;0,LEN(TRIM(C7))=0)</formula>
    </cfRule>
    <cfRule type="expression" dxfId="25" priority="2">
      <formula>AND(LEN(TRIM(C7))&gt;0,LEN(TRIM(D7))=0)</formula>
    </cfRule>
    <cfRule type="expression" dxfId="24" priority="3">
      <formula>AND(LEN(TRIM(C7))&gt;0,LEN(TRIM(D7))&gt;0)</formula>
    </cfRule>
  </conditionalFormatting>
  <conditionalFormatting sqref="D7:D8">
    <cfRule type="expression" dxfId="23" priority="4">
      <formula>LEN(TRIM(D7))&gt;0</formula>
    </cfRule>
    <cfRule type="expression" dxfId="22" priority="5">
      <formula>AND(LEN(TRIM(C7))&gt;0,LEN(TRIM(D7))=0)</formula>
    </cfRule>
  </conditionalFormatting>
  <conditionalFormatting sqref="F6">
    <cfRule type="expression" dxfId="21" priority="6">
      <formula>F5=0</formula>
    </cfRule>
    <cfRule type="expression" dxfId="20" priority="7">
      <formula>F5&gt;0</formula>
    </cfRule>
  </conditionalFormatting>
  <conditionalFormatting sqref="F7">
    <cfRule type="expression" dxfId="19" priority="8">
      <formula>$F$5=0</formula>
    </cfRule>
    <cfRule type="expression" dxfId="18" priority="9">
      <formula>$F$5&gt;0</formula>
    </cfRule>
  </conditionalFormatting>
  <pageMargins left="0.75" right="0.75" top="1" bottom="1" header="0.5" footer="0.5"/>
  <headerFooter>
    <oddFooter>&amp;L_x000D_&amp;1#&amp;"Aptos"&amp;7&amp;K000000 ADASTRA: Non-public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Invalid selection" error="Please select from the dropdown list only. Do not type manually." promptTitle="Select CRM value" prompt="Pick the correct CRM record. The key fills automatically in column D." xr:uid="{00000000-0002-0000-0500-000000000000}">
          <x14:formula1>
            <xm:f>_ref_products!$A$1:$A$8</xm:f>
          </x14:formula1>
          <xm:sqref>C7:C8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85FA5"/>
  </sheetPr>
  <dimension ref="B1:F15"/>
  <sheetViews>
    <sheetView showGridLines="0" workbookViewId="0">
      <selection activeCell="C7" sqref="C7"/>
    </sheetView>
  </sheetViews>
  <sheetFormatPr defaultRowHeight="15" x14ac:dyDescent="0.25"/>
  <cols>
    <col min="1" max="1" width="2" customWidth="1"/>
    <col min="2" max="2" width="36" customWidth="1"/>
    <col min="3" max="3" width="38" customWidth="1"/>
    <col min="4" max="4" width="20" customWidth="1"/>
    <col min="5" max="5" width="3" customWidth="1"/>
    <col min="6" max="6" width="26" customWidth="1"/>
  </cols>
  <sheetData>
    <row r="1" spans="2:6" ht="6" customHeight="1" x14ac:dyDescent="0.25"/>
    <row r="2" spans="2:6" ht="24" customHeight="1" x14ac:dyDescent="0.25">
      <c r="B2" s="16" t="s">
        <v>73</v>
      </c>
      <c r="C2" s="17"/>
      <c r="D2" s="17"/>
    </row>
    <row r="3" spans="2:6" ht="24" customHeight="1" x14ac:dyDescent="0.25">
      <c r="B3" s="17"/>
      <c r="C3" s="17"/>
      <c r="D3" s="17"/>
    </row>
    <row r="4" spans="2:6" ht="15.95" customHeight="1" x14ac:dyDescent="0.25">
      <c r="B4" s="19" t="str">
        <f>SUMPRODUCT((LEN(TRIM(B7:B8))&gt;0)*(LEN(TRIM(C7:C8))&gt;0))&amp;" of 2 rows mapped"&amp;IF(SUMPRODUCT((LEN(TRIM(B7:B8))&gt;0)*(LEN(TRIM(C7:C8))=0))&gt;0," · "&amp;SUMPRODUCT((LEN(TRIM(B7:B8))&gt;0)*(LEN(TRIM(C7:C8))=0))&amp;" remaining ⚠"," · All complete ✓")</f>
        <v>0 of 2 rows mapped · 2 remaining ⚠</v>
      </c>
      <c r="C4" s="17"/>
      <c r="D4" s="17"/>
    </row>
    <row r="5" spans="2:6" ht="14.1" customHeight="1" x14ac:dyDescent="0.25">
      <c r="F5" s="3">
        <f>SUMPRODUCT((LEN(TRIM(B7:B8))&gt;0)*(LEN(TRIM(C7:C8))=0))</f>
        <v>2</v>
      </c>
    </row>
    <row r="6" spans="2:6" ht="21.95" customHeight="1" x14ac:dyDescent="0.25">
      <c r="B6" s="4" t="s">
        <v>74</v>
      </c>
      <c r="C6" s="5" t="s">
        <v>75</v>
      </c>
      <c r="D6" s="6" t="s">
        <v>76</v>
      </c>
      <c r="F6" s="7" t="str">
        <f>IF(F5=0,"✓ All 2 rows mapped","⚠  "&amp;F5&amp;" row(s) not mapped")</f>
        <v>⚠  2 row(s) not mapped</v>
      </c>
    </row>
    <row r="7" spans="2:6" ht="20.100000000000001" customHeight="1" x14ac:dyDescent="0.25">
      <c r="B7" s="8" t="s">
        <v>77</v>
      </c>
      <c r="C7" s="9"/>
      <c r="D7" s="10" t="str">
        <f>IFERROR(VLOOKUP(C7,_ref_accounts!$A:$B,2,FALSE),"")</f>
        <v/>
      </c>
      <c r="F7" s="18" t="s">
        <v>5</v>
      </c>
    </row>
    <row r="8" spans="2:6" ht="20.100000000000001" customHeight="1" x14ac:dyDescent="0.25">
      <c r="B8" s="8" t="s">
        <v>78</v>
      </c>
      <c r="C8" s="9"/>
      <c r="D8" s="10" t="str">
        <f>IFERROR(VLOOKUP(C8,_ref_accounts!$A:$B,2,FALSE),"")</f>
        <v/>
      </c>
      <c r="F8" s="17"/>
    </row>
    <row r="9" spans="2:6" ht="20.100000000000001" customHeight="1" x14ac:dyDescent="0.25">
      <c r="F9" s="17"/>
    </row>
    <row r="10" spans="2:6" ht="20.100000000000001" customHeight="1" x14ac:dyDescent="0.25">
      <c r="F10" s="17"/>
    </row>
    <row r="11" spans="2:6" ht="26.1" customHeight="1" x14ac:dyDescent="0.25">
      <c r="F11" s="11" t="s">
        <v>7</v>
      </c>
    </row>
    <row r="12" spans="2:6" ht="12.95" customHeight="1" x14ac:dyDescent="0.25">
      <c r="F12" s="12" t="s">
        <v>8</v>
      </c>
    </row>
    <row r="13" spans="2:6" ht="15.95" customHeight="1" x14ac:dyDescent="0.25">
      <c r="F13" s="13" t="s">
        <v>9</v>
      </c>
    </row>
    <row r="14" spans="2:6" ht="15.95" customHeight="1" x14ac:dyDescent="0.25">
      <c r="F14" s="14" t="s">
        <v>10</v>
      </c>
    </row>
    <row r="15" spans="2:6" ht="15.95" customHeight="1" x14ac:dyDescent="0.25">
      <c r="F15" s="15" t="s">
        <v>11</v>
      </c>
    </row>
  </sheetData>
  <sheetProtection password="EC2B" sheet="1"/>
  <mergeCells count="3">
    <mergeCell ref="B2:D3"/>
    <mergeCell ref="F7:F10"/>
    <mergeCell ref="B4:D4"/>
  </mergeCells>
  <conditionalFormatting sqref="C7:C8">
    <cfRule type="expression" dxfId="17" priority="1">
      <formula>AND(LEN(TRIM(B7))&gt;0,LEN(TRIM(C7))=0)</formula>
    </cfRule>
    <cfRule type="expression" dxfId="16" priority="2">
      <formula>AND(LEN(TRIM(C7))&gt;0,LEN(TRIM(D7))=0)</formula>
    </cfRule>
    <cfRule type="expression" dxfId="15" priority="3">
      <formula>AND(LEN(TRIM(C7))&gt;0,LEN(TRIM(D7))&gt;0)</formula>
    </cfRule>
  </conditionalFormatting>
  <conditionalFormatting sqref="D7:D8">
    <cfRule type="expression" dxfId="14" priority="4">
      <formula>LEN(TRIM(D7))&gt;0</formula>
    </cfRule>
    <cfRule type="expression" dxfId="13" priority="5">
      <formula>AND(LEN(TRIM(C7))&gt;0,LEN(TRIM(D7))=0)</formula>
    </cfRule>
  </conditionalFormatting>
  <conditionalFormatting sqref="F6">
    <cfRule type="expression" dxfId="12" priority="6">
      <formula>F5=0</formula>
    </cfRule>
    <cfRule type="expression" dxfId="11" priority="7">
      <formula>F5&gt;0</formula>
    </cfRule>
  </conditionalFormatting>
  <conditionalFormatting sqref="F7">
    <cfRule type="expression" dxfId="10" priority="8">
      <formula>$F$5=0</formula>
    </cfRule>
    <cfRule type="expression" dxfId="9" priority="9">
      <formula>$F$5&gt;0</formula>
    </cfRule>
  </conditionalFormatting>
  <pageMargins left="0.75" right="0.75" top="1" bottom="1" header="0.5" footer="0.5"/>
  <headerFooter>
    <oddFooter>&amp;L_x000D_&amp;1#&amp;"Aptos"&amp;7&amp;K000000 ADASTRA: Non-public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Invalid selection" error="Please select from the dropdown list only. Do not type manually." promptTitle="Select CRM value" prompt="Pick the correct CRM record. The key fills automatically in column D." xr:uid="{00000000-0002-0000-0600-000000000000}">
          <x14:formula1>
            <xm:f>_ref_accounts!$A$1:$A$6</xm:f>
          </x14:formula1>
          <xm:sqref>C7:C8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34AB7"/>
  </sheetPr>
  <dimension ref="B1:F15"/>
  <sheetViews>
    <sheetView showGridLines="0" tabSelected="1" workbookViewId="0">
      <selection activeCell="C7" sqref="C7"/>
    </sheetView>
  </sheetViews>
  <sheetFormatPr defaultRowHeight="15" x14ac:dyDescent="0.25"/>
  <cols>
    <col min="1" max="1" width="2" customWidth="1"/>
    <col min="2" max="2" width="36" customWidth="1"/>
    <col min="3" max="3" width="38" customWidth="1"/>
    <col min="4" max="4" width="20" customWidth="1"/>
    <col min="5" max="5" width="3" customWidth="1"/>
    <col min="6" max="6" width="26" customWidth="1"/>
  </cols>
  <sheetData>
    <row r="1" spans="2:6" ht="6" customHeight="1" x14ac:dyDescent="0.25"/>
    <row r="2" spans="2:6" ht="24" customHeight="1" x14ac:dyDescent="0.25">
      <c r="B2" s="16" t="s">
        <v>79</v>
      </c>
      <c r="C2" s="17"/>
      <c r="D2" s="17"/>
    </row>
    <row r="3" spans="2:6" ht="24" customHeight="1" x14ac:dyDescent="0.25">
      <c r="B3" s="17"/>
      <c r="C3" s="17"/>
      <c r="D3" s="17"/>
    </row>
    <row r="4" spans="2:6" ht="15.95" customHeight="1" x14ac:dyDescent="0.25">
      <c r="B4" s="19" t="str">
        <f>SUMPRODUCT((LEN(TRIM(B7:B8))&gt;0)*(LEN(TRIM(C7:C8))&gt;0))&amp;" of 2 rows mapped"&amp;IF(SUMPRODUCT((LEN(TRIM(B7:B8))&gt;0)*(LEN(TRIM(C7:C8))=0))&gt;0," · "&amp;SUMPRODUCT((LEN(TRIM(B7:B8))&gt;0)*(LEN(TRIM(C7:C8))=0))&amp;" remaining ⚠"," · All complete ✓")</f>
        <v>0 of 2 rows mapped · 2 remaining ⚠</v>
      </c>
      <c r="C4" s="17"/>
      <c r="D4" s="17"/>
    </row>
    <row r="5" spans="2:6" ht="14.1" customHeight="1" x14ac:dyDescent="0.25">
      <c r="F5" s="3">
        <f>SUMPRODUCT((LEN(TRIM(B7:B8))&gt;0)*(LEN(TRIM(C7:C8))=0))</f>
        <v>2</v>
      </c>
    </row>
    <row r="6" spans="2:6" ht="21.95" customHeight="1" x14ac:dyDescent="0.25">
      <c r="B6" s="4" t="s">
        <v>80</v>
      </c>
      <c r="C6" s="5" t="s">
        <v>81</v>
      </c>
      <c r="D6" s="6" t="s">
        <v>82</v>
      </c>
      <c r="F6" s="7" t="str">
        <f>IF(F5=0,"✓ All 2 rows mapped","⚠  "&amp;F5&amp;" row(s) not mapped")</f>
        <v>⚠  2 row(s) not mapped</v>
      </c>
    </row>
    <row r="7" spans="2:6" ht="20.100000000000001" customHeight="1" x14ac:dyDescent="0.25">
      <c r="B7" s="8" t="s">
        <v>83</v>
      </c>
      <c r="C7" s="9"/>
      <c r="D7" s="10" t="str">
        <f>IFERROR(VLOOKUP(C7,_ref_competitors!$A:$B,2,FALSE),"")</f>
        <v/>
      </c>
      <c r="F7" s="18" t="s">
        <v>5</v>
      </c>
    </row>
    <row r="8" spans="2:6" ht="20.100000000000001" customHeight="1" x14ac:dyDescent="0.25">
      <c r="B8" s="8" t="s">
        <v>84</v>
      </c>
      <c r="C8" s="9"/>
      <c r="D8" s="10" t="str">
        <f>IFERROR(VLOOKUP(C8,_ref_competitors!$A:$B,2,FALSE),"")</f>
        <v/>
      </c>
      <c r="F8" s="17"/>
    </row>
    <row r="9" spans="2:6" ht="20.100000000000001" customHeight="1" x14ac:dyDescent="0.25">
      <c r="F9" s="17"/>
    </row>
    <row r="10" spans="2:6" ht="20.100000000000001" customHeight="1" x14ac:dyDescent="0.25">
      <c r="F10" s="17"/>
    </row>
    <row r="11" spans="2:6" ht="26.1" customHeight="1" x14ac:dyDescent="0.25">
      <c r="F11" s="11" t="s">
        <v>7</v>
      </c>
    </row>
    <row r="12" spans="2:6" ht="12.95" customHeight="1" x14ac:dyDescent="0.25">
      <c r="F12" s="12" t="s">
        <v>8</v>
      </c>
    </row>
    <row r="13" spans="2:6" ht="15.95" customHeight="1" x14ac:dyDescent="0.25">
      <c r="F13" s="13" t="s">
        <v>9</v>
      </c>
    </row>
    <row r="14" spans="2:6" ht="15.95" customHeight="1" x14ac:dyDescent="0.25">
      <c r="F14" s="14" t="s">
        <v>10</v>
      </c>
    </row>
    <row r="15" spans="2:6" ht="15.95" customHeight="1" x14ac:dyDescent="0.25">
      <c r="F15" s="15" t="s">
        <v>11</v>
      </c>
    </row>
  </sheetData>
  <sheetProtection password="EC2B" sheet="1"/>
  <mergeCells count="3">
    <mergeCell ref="B2:D3"/>
    <mergeCell ref="F7:F10"/>
    <mergeCell ref="B4:D4"/>
  </mergeCells>
  <conditionalFormatting sqref="C7:C8">
    <cfRule type="expression" dxfId="8" priority="1">
      <formula>AND(LEN(TRIM(B7))&gt;0,LEN(TRIM(C7))=0)</formula>
    </cfRule>
    <cfRule type="expression" dxfId="7" priority="2">
      <formula>AND(LEN(TRIM(C7))&gt;0,LEN(TRIM(D7))=0)</formula>
    </cfRule>
    <cfRule type="expression" dxfId="6" priority="3">
      <formula>AND(LEN(TRIM(C7))&gt;0,LEN(TRIM(D7))&gt;0)</formula>
    </cfRule>
  </conditionalFormatting>
  <conditionalFormatting sqref="D7:D8">
    <cfRule type="expression" dxfId="5" priority="4">
      <formula>LEN(TRIM(D7))&gt;0</formula>
    </cfRule>
    <cfRule type="expression" dxfId="4" priority="5">
      <formula>AND(LEN(TRIM(C7))&gt;0,LEN(TRIM(D7))=0)</formula>
    </cfRule>
  </conditionalFormatting>
  <conditionalFormatting sqref="F6">
    <cfRule type="expression" dxfId="3" priority="6">
      <formula>F5=0</formula>
    </cfRule>
    <cfRule type="expression" dxfId="2" priority="7">
      <formula>F5&gt;0</formula>
    </cfRule>
  </conditionalFormatting>
  <conditionalFormatting sqref="F7">
    <cfRule type="expression" dxfId="1" priority="8">
      <formula>$F$5=0</formula>
    </cfRule>
    <cfRule type="expression" dxfId="0" priority="9">
      <formula>$F$5&gt;0</formula>
    </cfRule>
  </conditionalFormatting>
  <pageMargins left="0.75" right="0.75" top="1" bottom="1" header="0.5" footer="0.5"/>
  <headerFooter>
    <oddFooter>&amp;L_x000D_&amp;1#&amp;"Aptos"&amp;7&amp;K000000 ADASTRA: Non-public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Invalid selection" error="Please select from the dropdown list only. Do not type manually." promptTitle="Select CRM value" prompt="Pick the correct CRM record. The key fills automatically in column D." xr:uid="{00000000-0002-0000-0700-000000000000}">
          <x14:formula1>
            <xm:f>_ref_competitors!$A$1:$A$6</xm:f>
          </x14:formula1>
          <xm:sqref>C7:C8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_config</vt:lpstr>
      <vt:lpstr>_ref_products</vt:lpstr>
      <vt:lpstr>_ref_accounts</vt:lpstr>
      <vt:lpstr>_ref_competitors</vt:lpstr>
      <vt:lpstr>Instructions</vt:lpstr>
      <vt:lpstr>Product Mapping</vt:lpstr>
      <vt:lpstr>Account Mapping</vt:lpstr>
      <vt:lpstr>Competitor Mapping</vt:lpstr>
      <vt:lpstr>CUSTOMER_KEY</vt:lpstr>
      <vt:lpstr>LOCK_FILE_PATH</vt:lpstr>
      <vt:lpstr>UPLOAD_FOLDER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Chromiak, Branislav</cp:lastModifiedBy>
  <dcterms:created xsi:type="dcterms:W3CDTF">2026-04-17T12:53:18Z</dcterms:created>
  <dcterms:modified xsi:type="dcterms:W3CDTF">2026-04-17T18:51:42Z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c066e7-6c2e-4ecc-b5f6-41dd9e1dfe47_Enabled">
    <vt:lpwstr>true</vt:lpwstr>
  </property>
  <property fmtid="{D5CDD505-2E9C-101B-9397-08002B2CF9AE}" pid="3" name="MSIP_Label_37c066e7-6c2e-4ecc-b5f6-41dd9e1dfe47_SetDate">
    <vt:lpwstr>2026-04-17T13:32:45Z</vt:lpwstr>
  </property>
  <property fmtid="{D5CDD505-2E9C-101B-9397-08002B2CF9AE}" pid="4" name="MSIP_Label_37c066e7-6c2e-4ecc-b5f6-41dd9e1dfe47_Method">
    <vt:lpwstr>Standard</vt:lpwstr>
  </property>
  <property fmtid="{D5CDD505-2E9C-101B-9397-08002B2CF9AE}" pid="5" name="MSIP_Label_37c066e7-6c2e-4ecc-b5f6-41dd9e1dfe47_Name">
    <vt:lpwstr>Non-public - Visible</vt:lpwstr>
  </property>
  <property fmtid="{D5CDD505-2E9C-101B-9397-08002B2CF9AE}" pid="6" name="MSIP_Label_37c066e7-6c2e-4ecc-b5f6-41dd9e1dfe47_SiteId">
    <vt:lpwstr>dd92f8ec-83fc-44c4-b277-1c4120fae21c</vt:lpwstr>
  </property>
  <property fmtid="{D5CDD505-2E9C-101B-9397-08002B2CF9AE}" pid="7" name="MSIP_Label_37c066e7-6c2e-4ecc-b5f6-41dd9e1dfe47_ActionId">
    <vt:lpwstr>00827b17-1c46-4257-afb2-35708c464510</vt:lpwstr>
  </property>
  <property fmtid="{D5CDD505-2E9C-101B-9397-08002B2CF9AE}" pid="8" name="MSIP_Label_37c066e7-6c2e-4ecc-b5f6-41dd9e1dfe47_ContentBits">
    <vt:lpwstr>2</vt:lpwstr>
  </property>
  <property fmtid="{D5CDD505-2E9C-101B-9397-08002B2CF9AE}" pid="9" name="MSIP_Label_37c066e7-6c2e-4ecc-b5f6-41dd9e1dfe47_Tag">
    <vt:lpwstr>10, 3, 0, 1</vt:lpwstr>
  </property>
</Properties>
</file>